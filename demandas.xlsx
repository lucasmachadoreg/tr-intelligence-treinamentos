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https://trten-my.sharepoint.com/personal/larissa_rosso_thomsonreuters_com/Documents/Larissa - Campinas/BI - Regional Camp/gerência/"/>
    </mc:Choice>
  </mc:AlternateContent>
  <xr:revisionPtr revIDLastSave="0" documentId="8_{EAC1ED43-0C1F-4B8F-A60B-D2518409BADF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Sheet1" sheetId="1" r:id="rId1"/>
    <sheet name="Links" sheetId="3" r:id="rId2"/>
    <sheet name="Base" sheetId="4" r:id="rId3"/>
    <sheet name="Form1" sheetId="2" r:id="rId4"/>
    <sheet name="Calendário gerent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2" l="1"/>
  <c r="T6" i="2"/>
  <c r="T5" i="2"/>
  <c r="T2" i="2"/>
  <c r="T3" i="2"/>
  <c r="T4" i="2"/>
</calcChain>
</file>

<file path=xl/sharedStrings.xml><?xml version="1.0" encoding="utf-8"?>
<sst xmlns="http://schemas.openxmlformats.org/spreadsheetml/2006/main" count="70" uniqueCount="52">
  <si>
    <t>Forms</t>
  </si>
  <si>
    <t>https://forms.cloud.microsoft/Pages/DesignPageV2.aspx?subpage=design&amp;token=255638396ac14f1b82967150b8efc787&amp;id=ZLjMYhpqXUuOHDl97BqCWCUrcjkuX0VJr631t9XjA3pUOExPWkxCNzBQQ1VINEg2RU9POThONkRYVC4u</t>
  </si>
  <si>
    <t>Pedido</t>
  </si>
  <si>
    <t>https://forms.cloud.microsoft/Pages/ResponsePage.aspx?id=ZLjMYhpqXUuOHDl97BqCWCUrcjkuX0VJr631t9XjA3pUOExPWkxCNzBQQ1VINEg2RU9POThONkRYVC4u</t>
  </si>
  <si>
    <t>Planilha</t>
  </si>
  <si>
    <t>https://trten-my.sharepoint.com/personal/larissa_rosso_thomsonreuters_com/Documents/Larissa%20-%20Campinas/BI%20-%20Regional%20Camp/ger%C3%AAncia/Organiza%C3%A7%C3%A3o%20demandas.xlsx</t>
  </si>
  <si>
    <t>Email</t>
  </si>
  <si>
    <t>Nome</t>
  </si>
  <si>
    <t>Região</t>
  </si>
  <si>
    <t>Gilsivan</t>
  </si>
  <si>
    <t>Rio</t>
  </si>
  <si>
    <t>Michel</t>
  </si>
  <si>
    <t>UNPOA</t>
  </si>
  <si>
    <t>Larissa Rosso</t>
  </si>
  <si>
    <t>Larissa</t>
  </si>
  <si>
    <t>Dennis Correia</t>
  </si>
  <si>
    <t>SP</t>
  </si>
  <si>
    <t>ID</t>
  </si>
  <si>
    <t>Hora de início</t>
  </si>
  <si>
    <t>Hora da conclusão</t>
  </si>
  <si>
    <t>Qual sua necessidade?</t>
  </si>
  <si>
    <t>Qual a data de entrada?</t>
  </si>
  <si>
    <t>Qual o níveis</t>
  </si>
  <si>
    <t>Quais são os nomes:</t>
  </si>
  <si>
    <t>Quantas pessoas:</t>
  </si>
  <si>
    <t>Quais os nomes</t>
  </si>
  <si>
    <t>Quantas pessoas são?</t>
  </si>
  <si>
    <t>Qual produto referente ao treinamento?</t>
  </si>
  <si>
    <t>Qual assunto do treinamento?</t>
  </si>
  <si>
    <t>Detalhe sua necessidade:</t>
  </si>
  <si>
    <t>Data início</t>
  </si>
  <si>
    <t>Data finalizado</t>
  </si>
  <si>
    <t>Assunto</t>
  </si>
  <si>
    <t>Detalhe assunto</t>
  </si>
  <si>
    <t>Larissa.Rosso@thomsonreuters.com</t>
  </si>
  <si>
    <t>Treinamento novo vendedor</t>
  </si>
  <si>
    <t>Luis Guedes</t>
  </si>
  <si>
    <t>1</t>
  </si>
  <si>
    <t>Dennis.Correia@thomsonreuters.com</t>
  </si>
  <si>
    <t>Treinamento de reciclagem</t>
  </si>
  <si>
    <t>Vendedor II</t>
  </si>
  <si>
    <t>3</t>
  </si>
  <si>
    <t>Guilherme Lopes, Claudenir Lourenço, Thiago Canabrava</t>
  </si>
  <si>
    <t>Contábil e Periféricos</t>
  </si>
  <si>
    <t>Todos</t>
  </si>
  <si>
    <t>Vendedores que tem apenas 7 meses de casa.</t>
  </si>
  <si>
    <t>Rodrigo Soares (RIO), Giacomo Urbini (SP Interior), Gabriel Monteiro (SP Interior)</t>
  </si>
  <si>
    <t>Felipe Leite Dalpino von Scheibler</t>
  </si>
  <si>
    <t>Pedro Souza</t>
  </si>
  <si>
    <t>Disponibilidade</t>
  </si>
  <si>
    <t>Data fim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</si>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</sst>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22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1"/>
    <xf numFmtId="0" fontId="0" fillId="0" borderId="0" xfId="0" quotePrefix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2" fillId="0" borderId="1" xfId="0" applyFont="1" applyBorder="1"/>
  </cellXfs>
  <cellStyles count="2">
    <cellStyle name="Hyperlink" xfId="1" builtinId="8"/>
    <cellStyle name="Normal" xfId="0" builtinId="0"/>
  </cellStyles>
  <dxfs count="19">
    <dxf>
      <numFmt numFmtId="0" formatCode="General"/>
    </dxf>
    <dxf>
      <numFmt numFmtId="0" formatCode="General"/>
      <alignment horizontal="center" vertical="center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19" formatCode="m/d/yyyy"/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3DE0C2-9E60-4123-B5B5-01AA5265D84D}" name="Table3" displayName="Table3" ref="A1:C5" totalsRowShown="0">
  <autoFilter ref="A1:C5" xr:uid="{3C3DE0C2-9E60-4123-B5B5-01AA5265D84D}"/>
  <tableColumns count="3">
    <tableColumn id="1" xr3:uid="{66695215-4476-4A39-8E8E-2602E9934075}" name="Email"/>
    <tableColumn id="2" xr3:uid="{C5229466-77DF-4F83-A6D8-820FD6C0A04C}" name="Nome"/>
    <tableColumn id="3" xr3:uid="{81CE6589-11A3-4082-80DB-58C99BBF33B0}" name="Região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E55BBE-7633-4BB8-A8C3-8CBFD10515C0}" name="Tabela1" displayName="Tabela1" ref="A1:T7" totalsRowShown="0">
  <autoFilter ref="A1:T7" xr:uid="{9EE55BBE-7633-4BB8-A8C3-8CBFD10515C0}"/>
  <tableColumns count="20">
    <tableColumn id="1" xr3:uid="{CB769E80-F56D-44A4-BD76-9ECBF144B0BE}" name="ID" dataDxfId="1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4D8B106F-95AD-4D8E-AAB6-36E9F23386C5}" name="Hora de início" dataDxfId="17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75FE9123-26DF-4B74-B2D9-6CC5981F646A}" name="Hora da conclusão" dataDxfId="16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A577DE9E-FDD9-4669-B367-3CB72F6E44EE}" name="Email" dataDxfId="1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C6E2F69-3C5E-4723-8874-35E442A3B566}" name="Nome" dataDxfId="1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3474AC7-417E-4FC4-9AC8-CC956DDE6CD4}" name="Qual sua necessidade?" dataDxfId="13">
      <extLst>
        <ext xmlns:xlmsforms="http://schemas.microsoft.com/office/spreadsheetml/2023/msForms" uri="{FCC71383-01E1-4257-9335-427F07BE8D7F}">
          <xlmsforms:question id="r6546689247a6419080a77d70a9210618"/>
        </ext>
      </extLst>
    </tableColumn>
    <tableColumn id="8" xr3:uid="{AECB7460-EA6F-45FE-9518-ECA5AC28CCB5}" name="Qual a data de entrada?" dataDxfId="12">
      <extLst>
        <ext xmlns:xlmsforms="http://schemas.microsoft.com/office/spreadsheetml/2023/msForms" uri="{FCC71383-01E1-4257-9335-427F07BE8D7F}">
          <xlmsforms:question id="r6f2f890f3cde41078cfc13e1b0da6bca"/>
        </ext>
      </extLst>
    </tableColumn>
    <tableColumn id="9" xr3:uid="{4847C9F7-1C84-42BF-B899-0C00F71CEF46}" name="Qual o níveis" dataDxfId="11">
      <extLst>
        <ext xmlns:xlmsforms="http://schemas.microsoft.com/office/spreadsheetml/2023/msForms" uri="{FCC71383-01E1-4257-9335-427F07BE8D7F}">
          <xlmsforms:question id="r9a4981c0cd334f0aa8105a50db1a3368"/>
        </ext>
      </extLst>
    </tableColumn>
    <tableColumn id="7" xr3:uid="{75482E00-2946-414C-B612-52C3F315CBBF}" name="Quais são os nomes:" dataDxfId="10">
      <extLst>
        <ext xmlns:xlmsforms="http://schemas.microsoft.com/office/spreadsheetml/2023/msForms" uri="{FCC71383-01E1-4257-9335-427F07BE8D7F}">
          <xlmsforms:question id="r664896e9ec9b4777b0eb7cdf0093bc3e"/>
        </ext>
      </extLst>
    </tableColumn>
    <tableColumn id="14" xr3:uid="{FF519106-1E29-42CE-8810-7526479DCB21}" name="Quantas pessoas:" dataDxfId="9">
      <extLst>
        <ext xmlns:xlmsforms="http://schemas.microsoft.com/office/spreadsheetml/2023/msForms" uri="{FCC71383-01E1-4257-9335-427F07BE8D7F}">
          <xlmsforms:question id="rd3e80f5eaa114b97b6807b1250086785"/>
        </ext>
      </extLst>
    </tableColumn>
    <tableColumn id="15" xr3:uid="{599F8A8E-A9C4-4D43-A04C-7C99D70659EE}" name="Quais os nomes" dataDxfId="8">
      <extLst>
        <ext xmlns:xlmsforms="http://schemas.microsoft.com/office/spreadsheetml/2023/msForms" uri="{FCC71383-01E1-4257-9335-427F07BE8D7F}">
          <xlmsforms:question id="rcaab62f2261d42ac994dc8ebaf9d29a3"/>
        </ext>
      </extLst>
    </tableColumn>
    <tableColumn id="10" xr3:uid="{BEEC76D8-E404-4659-B947-67B0BA4387AF}" name="Quantas pessoas são?" dataDxfId="7">
      <extLst>
        <ext xmlns:xlmsforms="http://schemas.microsoft.com/office/spreadsheetml/2023/msForms" uri="{FCC71383-01E1-4257-9335-427F07BE8D7F}">
          <xlmsforms:question id="re4c778be6490461283996a62d008c59c"/>
        </ext>
      </extLst>
    </tableColumn>
    <tableColumn id="11" xr3:uid="{BB54D31C-8725-4B7D-8D02-5B9CA56BC54C}" name="Qual produto referente ao treinamento?" dataDxfId="6">
      <extLst>
        <ext xmlns:xlmsforms="http://schemas.microsoft.com/office/spreadsheetml/2023/msForms" uri="{FCC71383-01E1-4257-9335-427F07BE8D7F}">
          <xlmsforms:question id="ra18e674be005484b8ec2ed6cf8b9838b"/>
        </ext>
      </extLst>
    </tableColumn>
    <tableColumn id="12" xr3:uid="{3505AB15-9417-4566-8FCF-5D7BB16E03F2}" name="Qual assunto do treinamento?" dataDxfId="5">
      <extLst>
        <ext xmlns:xlmsforms="http://schemas.microsoft.com/office/spreadsheetml/2023/msForms" uri="{FCC71383-01E1-4257-9335-427F07BE8D7F}">
          <xlmsforms:question id="rc7895b2189cf44d793c7c4ed234acc1b"/>
        </ext>
      </extLst>
    </tableColumn>
    <tableColumn id="13" xr3:uid="{2FA870AD-B892-47CE-8988-2555008350D6}" name="Detalhe sua necessidade:" dataDxfId="4">
      <extLst>
        <ext xmlns:xlmsforms="http://schemas.microsoft.com/office/spreadsheetml/2023/msForms" uri="{FCC71383-01E1-4257-9335-427F07BE8D7F}">
          <xlmsforms:question id="r19325c28b61d4ce586d44443465f3cd6"/>
        </ext>
      </extLst>
    </tableColumn>
    <tableColumn id="24" xr3:uid="{673BE25E-4985-4AD8-A523-0DFDCD2FBB14}" name="Data início" dataDxfId="3"/>
    <tableColumn id="18" xr3:uid="{DABE99D8-C191-4D49-87D1-13330FF0CEC4}" name="Data finalizado" dataDxfId="2"/>
    <tableColumn id="21" xr3:uid="{DF20E221-F993-454B-A831-8AF7A1FCD4B3}" name="Assunto"/>
    <tableColumn id="16" xr3:uid="{E16FB392-D3E3-478E-BCB1-2F678FF016C9}" name="Detalhe assunto" dataDxfId="1"/>
    <tableColumn id="17" xr3:uid="{92C94EC1-8D6D-4447-812D-2309B2DB014C}" name="Região" dataDxfId="0">
      <calculatedColumnFormula>IF(_xlfn.XLOOKUP(Tabela1[[#This Row],[Nome]],Base!B:B,Base!C:C,0)=0,"",_xlfn.XLOOKUP(Tabela1[[#This Row],[Nome]],Base!B:B,Base!C:C,0))</calculatedColumnFormula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ZLjMYhpqXUuOHDl97BqCWCUrcjkuX0VJr631t9XjA3pUOExPWkxCNzBQQ1VINEg2RU9POThONkRYVC4u" isFormConnected="1" maxResponseId="10" latestEventMarker="48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r6546689247a6419080a77d70a9210618</xlmsforms:syncedQuestionId>
        <xlmsforms:syncedQuestionId>ra5dd2e957bda4a3b974d4a2eecdbfe02</xlmsforms:syncedQuestionId>
        <xlmsforms:syncedQuestionId>r6f2f890f3cde41078cfc13e1b0da6bca</xlmsforms:syncedQuestionId>
        <xlmsforms:syncedQuestionId>r9a4981c0cd334f0aa8105a50db1a3368</xlmsforms:syncedQuestionId>
        <xlmsforms:syncedQuestionId>re4c778be6490461283996a62d008c59c</xlmsforms:syncedQuestionId>
        <xlmsforms:syncedQuestionId>ra18e674be005484b8ec2ed6cf8b9838b</xlmsforms:syncedQuestionId>
        <xlmsforms:syncedQuestionId>rc7895b2189cf44d793c7c4ed234acc1b</xlmsforms:syncedQuestionId>
        <xlmsforms:syncedQuestionId>r19325c28b61d4ce586d44443465f3cd6</xlmsforms:syncedQuestionId>
        <xlmsforms:syncedQuestionId>rd3e80f5eaa114b97b6807b1250086785</xlmsforms:syncedQuestionId>
        <xlmsforms:syncedQuestionId>r664896e9ec9b4777b0eb7cdf0093bc3e</xlmsforms:syncedQuestionId>
        <xlmsforms:syncedQuestionId>rcaab62f2261d42ac994dc8ebaf9d29a3</xlmsforms:syncedQuestionId>
      </xlmsforms:msForm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D622C2-04E6-4EB6-8149-8C737E4A0E0D}" name="Table2" displayName="Table2" ref="A1:C2" totalsRowShown="0">
  <autoFilter ref="A1:C2" xr:uid="{B2D622C2-04E6-4EB6-8149-8C737E4A0E0D}"/>
  <tableColumns count="3">
    <tableColumn id="1" xr3:uid="{AD8EC846-94CE-4E81-8228-F1AC9375C3A4}" name="Disponibilidade"/>
    <tableColumn id="2" xr3:uid="{0FBD1D65-7704-4645-84BA-75094914764D}" name="Data início"/>
    <tableColumn id="3" xr3:uid="{FDBD89A5-B0F0-4973-ADEE-34538E499BEF}" name="Data fim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orms.cloud.microsoft/Pages/ResponsePage.aspx?id=ZLjMYhpqXUuOHDl97BqCWCUrcjkuX0VJr631t9XjA3pUOExPWkxCNzBQQ1VINEg2RU9POThONkRYVC4u" TargetMode="External"/><Relationship Id="rId2" Type="http://schemas.openxmlformats.org/officeDocument/2006/relationships/hyperlink" Target="../ger%C3%AAncia/Organiza%C3%A7%C3%A3o%20demandas.xlsx" TargetMode="External"/><Relationship Id="rId1" Type="http://schemas.openxmlformats.org/officeDocument/2006/relationships/hyperlink" Target="https://forms.cloud.microsoft/Pages/DesignPageV2.aspx?subpage=design&amp;token=255638396ac14f1b82967150b8efc787&amp;id=ZLjMYhpqXUuOHDl97BqCWCUrcjkuX0VJr631t9XjA3pUOExPWkxCNzBQQ1VINEg2RU9POThONkRYVC4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23" sqref="D23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0694-BED0-424C-986E-E37AEEF52857}">
  <dimension ref="A1:C4"/>
  <sheetViews>
    <sheetView workbookViewId="0">
      <selection activeCell="B1" sqref="B1"/>
    </sheetView>
  </sheetViews>
  <sheetFormatPr defaultRowHeight="15"/>
  <sheetData>
    <row r="1" spans="1:3">
      <c r="A1" t="s">
        <v>0</v>
      </c>
      <c r="B1" s="8" t="s">
        <v>1</v>
      </c>
    </row>
    <row r="2" spans="1:3">
      <c r="A2" t="s">
        <v>2</v>
      </c>
      <c r="C2" s="8" t="s">
        <v>3</v>
      </c>
    </row>
    <row r="3" spans="1:3">
      <c r="A3" t="s">
        <v>4</v>
      </c>
      <c r="B3" s="8" t="s">
        <v>5</v>
      </c>
    </row>
    <row r="4" spans="1:3">
      <c r="B4" s="8"/>
    </row>
  </sheetData>
  <hyperlinks>
    <hyperlink ref="B1" r:id="rId1" xr:uid="{AF0B4816-4451-467A-910E-CCDCDDA6B795}"/>
    <hyperlink ref="B3" r:id="rId2" xr:uid="{76AD5995-4E73-4B45-ADB1-83BCDFC064A4}"/>
    <hyperlink ref="C2" r:id="rId3" xr:uid="{3C8EE6CF-C55E-4CC3-8EA0-D2CD7263043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F219-A53F-46E8-ACD7-65F9A9065197}">
  <dimension ref="A1:C5"/>
  <sheetViews>
    <sheetView workbookViewId="0">
      <selection activeCell="E9" sqref="E9"/>
    </sheetView>
  </sheetViews>
  <sheetFormatPr defaultRowHeight="15"/>
  <cols>
    <col min="2" max="2" width="14.140625" bestFit="1" customWidth="1"/>
    <col min="3" max="3" width="9.42578125" bestFit="1" customWidth="1"/>
  </cols>
  <sheetData>
    <row r="1" spans="1:3">
      <c r="A1" t="s">
        <v>6</v>
      </c>
      <c r="B1" t="s">
        <v>7</v>
      </c>
      <c r="C1" t="s">
        <v>8</v>
      </c>
    </row>
    <row r="2" spans="1:3">
      <c r="B2" t="s">
        <v>9</v>
      </c>
      <c r="C2" t="s">
        <v>10</v>
      </c>
    </row>
    <row r="3" spans="1:3">
      <c r="B3" t="s">
        <v>11</v>
      </c>
      <c r="C3" t="s">
        <v>12</v>
      </c>
    </row>
    <row r="4" spans="1:3">
      <c r="B4" t="s">
        <v>13</v>
      </c>
      <c r="C4" t="s">
        <v>14</v>
      </c>
    </row>
    <row r="5" spans="1:3">
      <c r="B5" t="s">
        <v>15</v>
      </c>
      <c r="C5" t="s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AD98-1882-4D74-8F3F-3E7C72A578B2}">
  <dimension ref="A1:T7"/>
  <sheetViews>
    <sheetView tabSelected="1" topLeftCell="I1" workbookViewId="0">
      <selection activeCell="O11" sqref="O11"/>
    </sheetView>
  </sheetViews>
  <sheetFormatPr defaultRowHeight="15"/>
  <cols>
    <col min="1" max="1" width="5.28515625" bestFit="1" customWidth="1"/>
    <col min="2" max="2" width="16" bestFit="1" customWidth="1"/>
    <col min="3" max="3" width="20" hidden="1" customWidth="1"/>
    <col min="4" max="4" width="33.7109375" hidden="1" customWidth="1"/>
    <col min="5" max="5" width="12.5703125" bestFit="1" customWidth="1"/>
    <col min="6" max="6" width="26.7109375" bestFit="1" customWidth="1"/>
    <col min="7" max="7" width="12.140625" style="3" customWidth="1"/>
    <col min="8" max="8" width="14.85546875" style="3" bestFit="1" customWidth="1"/>
    <col min="9" max="9" width="39" style="3" customWidth="1"/>
    <col min="10" max="10" width="10.5703125" style="3" customWidth="1"/>
    <col min="11" max="11" width="27.5703125" style="3" bestFit="1" customWidth="1"/>
    <col min="12" max="12" width="13.85546875" style="3" customWidth="1"/>
    <col min="13" max="13" width="21.7109375" style="3" customWidth="1"/>
    <col min="14" max="14" width="23.7109375" style="3" customWidth="1"/>
    <col min="15" max="15" width="27.42578125" style="3" bestFit="1" customWidth="1"/>
    <col min="16" max="16" width="12.85546875" style="3" customWidth="1"/>
    <col min="17" max="17" width="11.42578125" style="3" customWidth="1"/>
    <col min="18" max="18" width="17.5703125" style="3" bestFit="1" customWidth="1"/>
    <col min="19" max="19" width="33.28515625" style="3" bestFit="1" customWidth="1"/>
  </cols>
  <sheetData>
    <row r="1" spans="1:20" ht="42.75" customHeight="1">
      <c r="A1" t="s">
        <v>17</v>
      </c>
      <c r="B1" s="1" t="s">
        <v>18</v>
      </c>
      <c r="C1" s="1" t="s">
        <v>19</v>
      </c>
      <c r="D1" s="5" t="s">
        <v>6</v>
      </c>
      <c r="E1" s="5" t="s">
        <v>7</v>
      </c>
      <c r="F1" s="5" t="s">
        <v>20</v>
      </c>
      <c r="G1" s="4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7" t="s">
        <v>30</v>
      </c>
      <c r="Q1" s="7" t="s">
        <v>31</v>
      </c>
      <c r="R1" s="7" t="s">
        <v>32</v>
      </c>
      <c r="S1" s="10" t="s">
        <v>33</v>
      </c>
      <c r="T1" s="10" t="s">
        <v>8</v>
      </c>
    </row>
    <row r="2" spans="1:20">
      <c r="A2">
        <v>5</v>
      </c>
      <c r="B2" s="1">
        <v>46191.727453703701</v>
      </c>
      <c r="C2" s="1">
        <v>46191.727673611102</v>
      </c>
      <c r="D2" t="s">
        <v>34</v>
      </c>
      <c r="E2" t="s">
        <v>13</v>
      </c>
      <c r="F2" t="s">
        <v>35</v>
      </c>
      <c r="G2" s="2">
        <v>46188</v>
      </c>
      <c r="I2" s="3" t="s">
        <v>36</v>
      </c>
      <c r="L2" s="9" t="s">
        <v>37</v>
      </c>
      <c r="P2" s="2">
        <v>46188</v>
      </c>
      <c r="Q2" s="2">
        <v>46199</v>
      </c>
      <c r="T2" t="str">
        <f>IF(_xlfn.XLOOKUP(Tabela1[[#This Row],[Nome]],Base!B:B,Base!C:C,0)=0,"",_xlfn.XLOOKUP(Tabela1[[#This Row],[Nome]],Base!B:B,Base!C:C,0))</f>
        <v>Larissa</v>
      </c>
    </row>
    <row r="3" spans="1:20">
      <c r="B3" s="1"/>
      <c r="C3" s="1"/>
      <c r="G3" s="2"/>
      <c r="P3" s="2">
        <v>46195</v>
      </c>
      <c r="Q3" s="2">
        <v>46196</v>
      </c>
      <c r="T3" t="str">
        <f>IF(_xlfn.XLOOKUP(Tabela1[[#This Row],[Nome]],Base!B:B,Base!C:C,0)=0,"",_xlfn.XLOOKUP(Tabela1[[#This Row],[Nome]],Base!B:B,Base!C:C,0))</f>
        <v/>
      </c>
    </row>
    <row r="4" spans="1:20">
      <c r="A4">
        <v>6</v>
      </c>
      <c r="B4" s="1">
        <v>46199.474120370403</v>
      </c>
      <c r="C4" s="1">
        <v>46199.474953703699</v>
      </c>
      <c r="D4" t="s">
        <v>38</v>
      </c>
      <c r="E4" t="s">
        <v>15</v>
      </c>
      <c r="F4" t="s">
        <v>39</v>
      </c>
      <c r="G4" s="2"/>
      <c r="H4" s="3" t="s">
        <v>40</v>
      </c>
      <c r="J4" s="9" t="s">
        <v>41</v>
      </c>
      <c r="K4" s="3" t="s">
        <v>42</v>
      </c>
      <c r="M4" s="3" t="s">
        <v>43</v>
      </c>
      <c r="N4" s="3" t="s">
        <v>44</v>
      </c>
      <c r="O4" s="3" t="s">
        <v>45</v>
      </c>
      <c r="P4" s="2"/>
      <c r="Q4" s="2"/>
      <c r="T4" t="str">
        <f>IF(_xlfn.XLOOKUP(Tabela1[[#This Row],[Nome]],Base!B:B,Base!C:C,0)=0,"",_xlfn.XLOOKUP(Tabela1[[#This Row],[Nome]],Base!B:B,Base!C:C,0))</f>
        <v>SP</v>
      </c>
    </row>
    <row r="5" spans="1:20">
      <c r="A5">
        <v>7</v>
      </c>
      <c r="B5" s="1">
        <v>46202.557708333297</v>
      </c>
      <c r="C5" s="1">
        <v>46202.559224536999</v>
      </c>
      <c r="D5" t="s">
        <v>34</v>
      </c>
      <c r="E5" t="s">
        <v>13</v>
      </c>
      <c r="F5" t="s">
        <v>35</v>
      </c>
      <c r="G5" s="2">
        <v>46209</v>
      </c>
      <c r="I5" s="3" t="s">
        <v>46</v>
      </c>
      <c r="J5" s="9"/>
      <c r="L5" s="9" t="s">
        <v>41</v>
      </c>
      <c r="P5" s="2">
        <v>46209</v>
      </c>
      <c r="Q5" s="2">
        <v>46220</v>
      </c>
      <c r="T5" t="str">
        <f>IF(_xlfn.XLOOKUP(Tabela1[[#This Row],[Nome]],Base!B:B,Base!C:C,0)=0,"",_xlfn.XLOOKUP(Tabela1[[#This Row],[Nome]],Base!B:B,Base!C:C,0))</f>
        <v>Larissa</v>
      </c>
    </row>
    <row r="6" spans="1:20">
      <c r="A6">
        <v>8</v>
      </c>
      <c r="B6" s="1">
        <v>46211.606388888897</v>
      </c>
      <c r="C6" s="1">
        <v>46211.606840277796</v>
      </c>
      <c r="D6" t="s">
        <v>34</v>
      </c>
      <c r="E6" t="s">
        <v>13</v>
      </c>
      <c r="F6" t="s">
        <v>35</v>
      </c>
      <c r="G6" s="2">
        <v>46237</v>
      </c>
      <c r="I6" s="11" t="s">
        <v>47</v>
      </c>
      <c r="J6" s="9"/>
      <c r="L6" s="9" t="s">
        <v>37</v>
      </c>
      <c r="P6" s="2">
        <v>46237</v>
      </c>
      <c r="Q6" s="2">
        <v>46248</v>
      </c>
      <c r="T6" t="str">
        <f>IF(_xlfn.XLOOKUP(Tabela1[[#This Row],[Nome]],Base!B:B,Base!C:C,0)=0,"",_xlfn.XLOOKUP(Tabela1[[#This Row],[Nome]],Base!B:B,Base!C:C,0))</f>
        <v>Larissa</v>
      </c>
    </row>
    <row r="7" spans="1:20">
      <c r="A7">
        <v>10</v>
      </c>
      <c r="B7" s="1">
        <v>46220.717777777798</v>
      </c>
      <c r="C7" s="1">
        <v>46220.718020833301</v>
      </c>
      <c r="D7" t="s">
        <v>34</v>
      </c>
      <c r="E7" t="s">
        <v>13</v>
      </c>
      <c r="F7" t="s">
        <v>35</v>
      </c>
      <c r="G7" s="2">
        <v>46237</v>
      </c>
      <c r="I7" s="11" t="s">
        <v>48</v>
      </c>
      <c r="J7" s="9"/>
      <c r="L7" s="9" t="s">
        <v>37</v>
      </c>
      <c r="P7" s="2"/>
      <c r="T7" t="str">
        <f>IF(_xlfn.XLOOKUP(Tabela1[[#This Row],[Nome]],Base!B:B,Base!C:C,0)=0,"",_xlfn.XLOOKUP(Tabela1[[#This Row],[Nome]],Base!B:B,Base!C:C,0))</f>
        <v>Larissa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1613-27EE-484F-B660-18905F0B4D02}">
  <dimension ref="A1:C2"/>
  <sheetViews>
    <sheetView workbookViewId="0">
      <selection activeCell="C14" sqref="C14"/>
    </sheetView>
  </sheetViews>
  <sheetFormatPr defaultRowHeight="15"/>
  <cols>
    <col min="1" max="1" width="22.140625" customWidth="1"/>
    <col min="2" max="2" width="12.85546875" bestFit="1" customWidth="1"/>
    <col min="3" max="3" width="11" bestFit="1" customWidth="1"/>
  </cols>
  <sheetData>
    <row r="1" spans="1:3">
      <c r="A1" t="s">
        <v>49</v>
      </c>
      <c r="B1" t="s">
        <v>30</v>
      </c>
      <c r="C1" t="s">
        <v>50</v>
      </c>
    </row>
    <row r="2" spans="1:3">
      <c r="A2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Machado, Lucas C. (LatAm)</dc:creator>
  <cp:keywords/>
  <dc:description/>
  <cp:lastModifiedBy/>
  <cp:revision/>
  <dcterms:created xsi:type="dcterms:W3CDTF">2015-06-05T18:17:20Z</dcterms:created>
  <dcterms:modified xsi:type="dcterms:W3CDTF">2026-07-30T17:39:39Z</dcterms:modified>
  <cp:category/>
  <cp:contentStatus/>
</cp:coreProperties>
</file>